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vojto\Music\Developer-Board\BOM\"/>
    </mc:Choice>
  </mc:AlternateContent>
  <xr:revisionPtr revIDLastSave="0" documentId="13_ncr:1_{C6CAF2BE-B04D-470D-AFAB-79DDCC9622F7}" xr6:coauthVersionLast="47" xr6:coauthVersionMax="47" xr10:uidLastSave="{00000000-0000-0000-0000-000000000000}"/>
  <bookViews>
    <workbookView xWindow="-108" yWindow="-108" windowWidth="23256" windowHeight="12456" xr2:uid="{00000000-000D-0000-FFFF-FFFF00000000}"/>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alcChain>
</file>

<file path=xl/sharedStrings.xml><?xml version="1.0" encoding="utf-8"?>
<sst xmlns="http://schemas.openxmlformats.org/spreadsheetml/2006/main" count="126" uniqueCount="91">
  <si>
    <t>Designator</t>
  </si>
  <si>
    <t>LCSC Part</t>
  </si>
  <si>
    <t>Value</t>
  </si>
  <si>
    <t>Footprint</t>
  </si>
  <si>
    <t>10uF</t>
  </si>
  <si>
    <t>1uF</t>
  </si>
  <si>
    <t>33pF</t>
  </si>
  <si>
    <t>J1</t>
  </si>
  <si>
    <t>USB-C-16P</t>
  </si>
  <si>
    <t>Conn_01x20</t>
  </si>
  <si>
    <t>J4</t>
  </si>
  <si>
    <t>Conn_01x03</t>
  </si>
  <si>
    <t>1k</t>
  </si>
  <si>
    <t>R4</t>
  </si>
  <si>
    <t>10k</t>
  </si>
  <si>
    <t>27R</t>
  </si>
  <si>
    <t>SW1</t>
  </si>
  <si>
    <t>SW_Push</t>
  </si>
  <si>
    <t>SMD-3x6</t>
  </si>
  <si>
    <t>U1</t>
  </si>
  <si>
    <t>SOT-23</t>
  </si>
  <si>
    <t>U2</t>
  </si>
  <si>
    <t>C2040</t>
  </si>
  <si>
    <t>RP2040</t>
  </si>
  <si>
    <t>QFN-56</t>
  </si>
  <si>
    <t>U3</t>
  </si>
  <si>
    <t>W25Q128</t>
  </si>
  <si>
    <t>SOIC-8</t>
  </si>
  <si>
    <t>Y1</t>
  </si>
  <si>
    <t>12MHz</t>
  </si>
  <si>
    <t>3225-4P</t>
  </si>
  <si>
    <t>Quantity</t>
  </si>
  <si>
    <t>C1, C2</t>
  </si>
  <si>
    <t>C4, C5, C6, C7, C8, C9, C10, C11, C12, C13, C17</t>
  </si>
  <si>
    <t>C3, C14</t>
  </si>
  <si>
    <t>C15, C16</t>
  </si>
  <si>
    <t>J2, J3</t>
  </si>
  <si>
    <t>R1, R2</t>
  </si>
  <si>
    <t>R3, R5</t>
  </si>
  <si>
    <t>R6, R7</t>
  </si>
  <si>
    <t>LCSC Link</t>
  </si>
  <si>
    <t>C315248</t>
  </si>
  <si>
    <t>Price per piece:</t>
  </si>
  <si>
    <t>MOQ:</t>
  </si>
  <si>
    <t>Price total:</t>
  </si>
  <si>
    <t>C60474</t>
  </si>
  <si>
    <t>C107372</t>
  </si>
  <si>
    <t>C5137486</t>
  </si>
  <si>
    <t>C2988369</t>
  </si>
  <si>
    <t>C42431804</t>
  </si>
  <si>
    <t>C32713269</t>
  </si>
  <si>
    <t>C2906948</t>
  </si>
  <si>
    <t>C2906864</t>
  </si>
  <si>
    <t>C2906861</t>
  </si>
  <si>
    <t>C138021</t>
  </si>
  <si>
    <t>C36498960</t>
  </si>
  <si>
    <t>C41381676</t>
  </si>
  <si>
    <t>C113767</t>
  </si>
  <si>
    <t>C5280576</t>
  </si>
  <si>
    <t xml:space="preserve">LCSC Shipping </t>
  </si>
  <si>
    <t>-</t>
  </si>
  <si>
    <t>LCSC Handling Fee</t>
  </si>
  <si>
    <t>https://www,lcsc,com/product-detail/C315248,html?s_z=n_10uF%25200402</t>
  </si>
  <si>
    <t>0,1uF</t>
  </si>
  <si>
    <t>https://www,lcsc,com/product-detail/C60474,html?s_z=n_100nF%25200402%25C2%25A8</t>
  </si>
  <si>
    <t>MOQ stands for Minimal Order Quantity, this is very important, if I want to order 5 pieces but the MOQ is 10 pieces I need to order 10 pieces, Everytime the MOQ is higher than the quantity needed, is the best price for these components even with the included components or there is not any other better/cheaper way,</t>
  </si>
  <si>
    <t>https://www,lcsc,com/product-detail/C107372,html?s_z=n_1uF%25200402</t>
  </si>
  <si>
    <t>https://www,lcsc,com/product-detail/C5137486,html?s_z=n_33pF%25200402</t>
  </si>
  <si>
    <t>USB-C 2,0</t>
  </si>
  <si>
    <t>https://www,lcsc,com/product-detail/C2988369,html?s_z=n_USB-C%25C2%25A8</t>
  </si>
  <si>
    <t>2,54mm-1x20</t>
  </si>
  <si>
    <t>2,54mm-1x03</t>
  </si>
  <si>
    <t>https://www,lcsc,com/product-detail/C32713269,html?s_z=n_conn%25201%2a03</t>
  </si>
  <si>
    <t>5,1k</t>
  </si>
  <si>
    <t>https://www,lcsc,com/product-detail/C2906948,html?s_z=n_5,1k%25200402</t>
  </si>
  <si>
    <t>https://www,lcsc,com/product-detail/C2906864,html?s_z=n_1k%25200402</t>
  </si>
  <si>
    <t>https://www,lcsc,com/product-detail/C2906861,html?s_z=n_10k%25200402</t>
  </si>
  <si>
    <t>https://www,lcsc,com/product-detail/C138021,html?s_z=n_27r%25200402</t>
  </si>
  <si>
    <t>https://www,lcsc,com/product-detail/C36498960,html?s_z=n_SMD%25203x6%2520sw</t>
  </si>
  <si>
    <t>All prices are in USD,</t>
  </si>
  <si>
    <t>MCP1700-3,3</t>
  </si>
  <si>
    <t>https://www,lcsc,com/product-detail/C41381676,html?s_z=n_MCP1700%25203,3v%2520sot23</t>
  </si>
  <si>
    <t>https://www,lcsc,com/product-detail/C2040,html?s_z=n_RP2040</t>
  </si>
  <si>
    <t>https://www,lcsc,com/product-detail/C113767,html?s_z=n_W25Q128</t>
  </si>
  <si>
    <t>https://www,lcsc,com/product-detail/C5280576,html?s_z=n_12MhZ%2520crystal%2520</t>
  </si>
  <si>
    <t>JLCPCB Stencil</t>
  </si>
  <si>
    <t>JLCPCB Shipping</t>
  </si>
  <si>
    <t>JLCPCB Customs &amp; Taxes</t>
  </si>
  <si>
    <t>Grand total:</t>
  </si>
  <si>
    <t>JLCPCB PCB + Edge Deburring (2$ + 0,1$)</t>
  </si>
  <si>
    <t>The LCSC cart is downloadable in the BOM directory.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</si>
</sst>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Kč&quot;_-;\-* #,##0.00\ &quot;Kč&quot;_-;_-* &quot;-&quot;??\ &quot;Kč&quot;_-;_-@_-"/>
    <numFmt numFmtId="168" formatCode="0000"/>
    <numFmt numFmtId="169" formatCode="_-[$$-409]* #,##0.00_ ;_-[$$-409]* \-#,##0.00\ ;_-[$$-409]* &quot;-&quot;??_ ;_-@_ "/>
    <numFmt numFmtId="170" formatCode="0.0000"/>
  </numFmts>
  <fonts count="8" x14ac:knownFonts="1">
    <font>
      <sz val="11"/>
      <color theme="1"/>
      <name val="Calibri"/>
      <family val="2"/>
      <scheme val="minor"/>
    </font>
    <font>
      <sz val="11"/>
      <color theme="1"/>
      <name val="Calibri"/>
      <family val="2"/>
      <charset val="238"/>
      <scheme val="minor"/>
    </font>
    <font>
      <sz val="11"/>
      <color theme="1"/>
      <name val="Arial"/>
      <family val="2"/>
      <charset val="238"/>
    </font>
    <font>
      <sz val="11"/>
      <color theme="1"/>
      <name val="Calibri"/>
      <family val="2"/>
      <scheme val="minor"/>
    </font>
    <font>
      <b/>
      <sz val="11"/>
      <color theme="1"/>
      <name val="Calibri"/>
      <family val="2"/>
      <charset val="238"/>
      <scheme val="minor"/>
    </font>
    <font>
      <b/>
      <sz val="11"/>
      <color theme="1"/>
      <name val="Arial"/>
      <family val="2"/>
      <charset val="238"/>
    </font>
    <font>
      <u/>
      <sz val="11"/>
      <color theme="10"/>
      <name val="Calibri"/>
      <family val="2"/>
      <scheme val="minor"/>
    </font>
    <font>
      <sz val="8"/>
      <name val="Calibri"/>
      <family val="2"/>
      <scheme val="minor"/>
    </font>
  </fonts>
  <fills count="8">
    <fill>
      <patternFill patternType="none"/>
    </fill>
    <fill>
      <patternFill patternType="gray125"/>
    </fill>
    <fill>
      <patternFill patternType="solid">
        <fgColor theme="4" tint="0.59999389629810485"/>
        <bgColor indexed="65"/>
      </patternFill>
    </fill>
    <fill>
      <patternFill patternType="solid">
        <fgColor theme="6" tint="0.39997558519241921"/>
        <bgColor indexed="65"/>
      </patternFill>
    </fill>
    <fill>
      <patternFill patternType="gray125">
        <bgColor theme="8" tint="0.59996337778862885"/>
      </patternFill>
    </fill>
    <fill>
      <patternFill patternType="solid">
        <fgColor theme="8" tint="0.59999389629810485"/>
        <bgColor indexed="64"/>
      </patternFill>
    </fill>
    <fill>
      <patternFill patternType="solid">
        <fgColor theme="0"/>
        <bgColor indexed="64"/>
      </patternFill>
    </fill>
    <fill>
      <patternFill patternType="solid">
        <fgColor theme="9"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4" fontId="3"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6" fillId="0" borderId="0" applyNumberFormat="0" applyFill="0" applyBorder="0" applyAlignment="0" applyProtection="0"/>
  </cellStyleXfs>
  <cellXfs count="61">
    <xf numFmtId="0" fontId="0" fillId="0" borderId="0" xfId="0"/>
    <xf numFmtId="0" fontId="2" fillId="0" borderId="0" xfId="0" applyFont="1" applyBorder="1" applyAlignment="1">
      <alignment horizontal="center" vertical="center" wrapText="1"/>
    </xf>
    <xf numFmtId="49" fontId="2" fillId="0" borderId="0" xfId="0" applyNumberFormat="1" applyFont="1" applyBorder="1" applyAlignment="1">
      <alignment horizontal="center" vertical="center" wrapText="1"/>
    </xf>
    <xf numFmtId="0" fontId="0" fillId="0" borderId="0"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168" fontId="2" fillId="0" borderId="1" xfId="0" applyNumberFormat="1" applyFont="1" applyBorder="1" applyAlignment="1">
      <alignment horizontal="center" vertical="center" wrapText="1"/>
    </xf>
    <xf numFmtId="0" fontId="0" fillId="4" borderId="1" xfId="0" applyFill="1" applyBorder="1" applyAlignment="1">
      <alignment shrinkToFit="1"/>
    </xf>
    <xf numFmtId="0" fontId="0" fillId="0" borderId="0" xfId="0" applyAlignment="1">
      <alignment vertical="top" wrapText="1"/>
    </xf>
    <xf numFmtId="0" fontId="4" fillId="0" borderId="1" xfId="0" applyFont="1" applyBorder="1" applyAlignment="1">
      <alignment horizontal="center"/>
    </xf>
    <xf numFmtId="0" fontId="0" fillId="6" borderId="0" xfId="0" applyFill="1"/>
    <xf numFmtId="0" fontId="0" fillId="6" borderId="0" xfId="0" applyFill="1" applyBorder="1" applyAlignment="1">
      <alignment vertical="center" wrapText="1"/>
    </xf>
    <xf numFmtId="0" fontId="0" fillId="6" borderId="0" xfId="0" applyFill="1" applyAlignment="1">
      <alignment vertical="top" wrapText="1"/>
    </xf>
    <xf numFmtId="0" fontId="4" fillId="7" borderId="16" xfId="0" applyFont="1" applyFill="1" applyBorder="1" applyAlignment="1">
      <alignment horizontal="left" vertical="center" wrapText="1"/>
    </xf>
    <xf numFmtId="0" fontId="4" fillId="7" borderId="17" xfId="0" applyFont="1" applyFill="1" applyBorder="1" applyAlignment="1">
      <alignment horizontal="left" vertical="center" wrapText="1"/>
    </xf>
    <xf numFmtId="0" fontId="4" fillId="7" borderId="1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4" xfId="0" applyFont="1" applyFill="1" applyBorder="1" applyAlignment="1">
      <alignment horizontal="left" vertical="center" wrapText="1"/>
    </xf>
    <xf numFmtId="0" fontId="4" fillId="5" borderId="15" xfId="0" applyFont="1" applyFill="1" applyBorder="1" applyAlignment="1">
      <alignment horizontal="left" vertical="center" wrapText="1"/>
    </xf>
    <xf numFmtId="0" fontId="6" fillId="4" borderId="1" xfId="4" applyFill="1" applyBorder="1" applyAlignment="1">
      <alignment shrinkToFit="1"/>
    </xf>
    <xf numFmtId="170" fontId="0" fillId="0" borderId="1" xfId="0" applyNumberFormat="1" applyBorder="1" applyAlignment="1">
      <alignment horizontal="center"/>
    </xf>
    <xf numFmtId="170" fontId="0" fillId="0" borderId="1" xfId="1" applyNumberFormat="1" applyFont="1" applyBorder="1" applyAlignment="1">
      <alignment horizontal="center"/>
    </xf>
    <xf numFmtId="170" fontId="0" fillId="0" borderId="1" xfId="1" applyNumberFormat="1" applyFont="1" applyBorder="1" applyAlignment="1">
      <alignment horizontal="center" vertical="center" wrapText="1"/>
    </xf>
    <xf numFmtId="1" fontId="0" fillId="0" borderId="1" xfId="0" applyNumberFormat="1" applyBorder="1" applyAlignment="1">
      <alignment horizontal="center"/>
    </xf>
    <xf numFmtId="0" fontId="4" fillId="3" borderId="8" xfId="3" applyFont="1" applyBorder="1" applyAlignment="1">
      <alignment horizontal="center" vertical="center" wrapText="1"/>
    </xf>
    <xf numFmtId="0" fontId="4" fillId="3" borderId="9" xfId="3" applyFont="1" applyBorder="1" applyAlignment="1">
      <alignment horizontal="center" vertical="center" wrapText="1"/>
    </xf>
    <xf numFmtId="0" fontId="4" fillId="3" borderId="9" xfId="3" applyFont="1" applyBorder="1" applyAlignment="1">
      <alignment horizontal="center"/>
    </xf>
    <xf numFmtId="0" fontId="2" fillId="0" borderId="11" xfId="0" applyFont="1" applyBorder="1" applyAlignment="1">
      <alignment vertical="center" wrapText="1"/>
    </xf>
    <xf numFmtId="169" fontId="0" fillId="0" borderId="12" xfId="0" applyNumberFormat="1" applyBorder="1" applyAlignment="1">
      <alignment horizontal="center"/>
    </xf>
    <xf numFmtId="49" fontId="5" fillId="0" borderId="1" xfId="0" applyNumberFormat="1" applyFont="1" applyBorder="1" applyAlignment="1">
      <alignment horizontal="center" vertical="center" wrapText="1"/>
    </xf>
    <xf numFmtId="168" fontId="5" fillId="0" borderId="1" xfId="0" applyNumberFormat="1" applyFont="1" applyFill="1" applyBorder="1" applyAlignment="1">
      <alignment horizontal="center" vertical="center" wrapText="1"/>
    </xf>
    <xf numFmtId="0" fontId="4" fillId="0" borderId="1" xfId="0" applyFont="1" applyFill="1" applyBorder="1" applyAlignment="1">
      <alignment horizontal="center"/>
    </xf>
    <xf numFmtId="0" fontId="4" fillId="3" borderId="10" xfId="3" applyFont="1" applyBorder="1" applyAlignment="1">
      <alignment horizontal="center" vertical="center" wrapText="1"/>
    </xf>
    <xf numFmtId="0" fontId="2" fillId="0" borderId="11" xfId="0" applyFont="1" applyBorder="1" applyAlignment="1">
      <alignment horizontal="left" vertical="center" wrapText="1"/>
    </xf>
    <xf numFmtId="169" fontId="1" fillId="0" borderId="12" xfId="0" applyNumberFormat="1" applyFont="1" applyBorder="1" applyAlignment="1">
      <alignment horizontal="center"/>
    </xf>
    <xf numFmtId="0" fontId="2" fillId="0" borderId="13" xfId="0" applyFont="1" applyBorder="1" applyAlignment="1">
      <alignment horizontal="left" vertical="center" wrapText="1"/>
    </xf>
    <xf numFmtId="0" fontId="5" fillId="0" borderId="14" xfId="0" applyFont="1" applyBorder="1" applyAlignment="1">
      <alignment horizontal="center" vertical="center" wrapText="1"/>
    </xf>
    <xf numFmtId="0" fontId="2" fillId="0" borderId="14" xfId="0" applyFont="1" applyBorder="1" applyAlignment="1">
      <alignment horizontal="center" vertical="center" wrapText="1"/>
    </xf>
    <xf numFmtId="49" fontId="5" fillId="0" borderId="14" xfId="0" applyNumberFormat="1" applyFont="1" applyBorder="1" applyAlignment="1">
      <alignment horizontal="center" vertical="center" wrapText="1"/>
    </xf>
    <xf numFmtId="168" fontId="5" fillId="0" borderId="14" xfId="0" applyNumberFormat="1" applyFont="1" applyFill="1" applyBorder="1" applyAlignment="1">
      <alignment horizontal="center" vertical="center" wrapText="1"/>
    </xf>
    <xf numFmtId="0" fontId="4" fillId="0" borderId="14" xfId="0" applyFont="1" applyBorder="1" applyAlignment="1">
      <alignment horizontal="center"/>
    </xf>
    <xf numFmtId="0" fontId="4" fillId="0" borderId="14" xfId="0" applyFont="1" applyFill="1" applyBorder="1" applyAlignment="1">
      <alignment horizontal="center"/>
    </xf>
    <xf numFmtId="169" fontId="1" fillId="0" borderId="15" xfId="0" applyNumberFormat="1" applyFont="1" applyBorder="1" applyAlignment="1">
      <alignment horizontal="center"/>
    </xf>
    <xf numFmtId="0" fontId="1" fillId="3" borderId="17" xfId="3" applyBorder="1" applyAlignment="1">
      <alignment horizontal="center" vertical="center" wrapText="1"/>
    </xf>
    <xf numFmtId="49" fontId="1" fillId="3" borderId="17" xfId="3" applyNumberFormat="1" applyBorder="1" applyAlignment="1">
      <alignment horizontal="center" vertical="center" wrapText="1"/>
    </xf>
    <xf numFmtId="0" fontId="1" fillId="3" borderId="17" xfId="3" applyBorder="1"/>
    <xf numFmtId="0" fontId="4" fillId="2" borderId="2" xfId="2" applyFont="1" applyBorder="1" applyAlignment="1">
      <alignment horizontal="left" wrapText="1"/>
    </xf>
    <xf numFmtId="0" fontId="4" fillId="2" borderId="3" xfId="2" applyFont="1" applyBorder="1" applyAlignment="1">
      <alignment horizontal="left" wrapText="1"/>
    </xf>
    <xf numFmtId="0" fontId="4" fillId="2" borderId="4" xfId="2" applyFont="1" applyBorder="1" applyAlignment="1">
      <alignment horizontal="left" wrapText="1"/>
    </xf>
    <xf numFmtId="0" fontId="4" fillId="2" borderId="5" xfId="2" applyFont="1" applyBorder="1" applyAlignment="1">
      <alignment horizontal="left" wrapText="1"/>
    </xf>
    <xf numFmtId="0" fontId="4" fillId="2" borderId="6" xfId="2" applyFont="1" applyBorder="1" applyAlignment="1">
      <alignment horizontal="left" wrapText="1"/>
    </xf>
    <xf numFmtId="0" fontId="4" fillId="2" borderId="7" xfId="2" applyFont="1" applyBorder="1" applyAlignment="1">
      <alignment horizontal="left" wrapText="1"/>
    </xf>
    <xf numFmtId="0" fontId="4" fillId="3" borderId="16" xfId="3" applyFont="1" applyBorder="1" applyAlignment="1">
      <alignment horizontal="center" vertical="center" wrapText="1"/>
    </xf>
    <xf numFmtId="169" fontId="1" fillId="3" borderId="18" xfId="3" applyNumberFormat="1" applyFont="1" applyBorder="1"/>
  </cellXfs>
  <cellStyles count="5">
    <cellStyle name="40 % – Zvýraznění 1" xfId="2" builtinId="31"/>
    <cellStyle name="60 % – Zvýraznění 3" xfId="3" builtinId="40"/>
    <cellStyle name="Hypertextový odkaz" xfId="4" builtinId="8"/>
    <cellStyle name="Měna" xfId="1" builtinId="4"/>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365760</xdr:colOff>
      <xdr:row>22</xdr:row>
      <xdr:rowOff>106680</xdr:rowOff>
    </xdr:from>
    <xdr:ext cx="184731" cy="264560"/>
    <xdr:sp macro="" textlink="">
      <xdr:nvSpPr>
        <xdr:cNvPr id="2" name="TextovéPole 1">
          <a:extLst>
            <a:ext uri="{FF2B5EF4-FFF2-40B4-BE49-F238E27FC236}">
              <a16:creationId xmlns:a16="http://schemas.microsoft.com/office/drawing/2014/main" id="{775370F8-5287-BFBD-A768-AE4D159843D4}"/>
            </a:ext>
          </a:extLst>
        </xdr:cNvPr>
        <xdr:cNvSpPr txBox="1"/>
      </xdr:nvSpPr>
      <xdr:spPr>
        <a:xfrm>
          <a:off x="3055620" y="455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cs-CZ"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csc.com/product-detail/C2906864.html?s_z=n_1k%25200402" TargetMode="External"/><Relationship Id="rId13" Type="http://schemas.openxmlformats.org/officeDocument/2006/relationships/hyperlink" Target="https://www.lcsc.com/product-detail/C113767.html?s_z=n_W25Q128" TargetMode="External"/><Relationship Id="rId3" Type="http://schemas.openxmlformats.org/officeDocument/2006/relationships/hyperlink" Target="https://www.lcsc.com/product-detail/C107372.html?s_z=n_1uF%25200402" TargetMode="External"/><Relationship Id="rId7" Type="http://schemas.openxmlformats.org/officeDocument/2006/relationships/hyperlink" Target="https://www.lcsc.com/product-detail/C2906948.html?s_z=n_5.1k%25200402" TargetMode="External"/><Relationship Id="rId12" Type="http://schemas.openxmlformats.org/officeDocument/2006/relationships/hyperlink" Target="https://www.lcsc.com/product-detail/C41381676.html?s_z=n_MCP1700%25203.3v%2520sot23" TargetMode="External"/><Relationship Id="rId17" Type="http://schemas.openxmlformats.org/officeDocument/2006/relationships/drawing" Target="../drawings/drawing1.xml"/><Relationship Id="rId2" Type="http://schemas.openxmlformats.org/officeDocument/2006/relationships/hyperlink" Target="https://www.lcsc.com/product-detail/C60474.html?s_z=n_100nF%25200402%25C2%25A8" TargetMode="External"/><Relationship Id="rId16" Type="http://schemas.openxmlformats.org/officeDocument/2006/relationships/printerSettings" Target="../printerSettings/printerSettings1.bin"/><Relationship Id="rId1" Type="http://schemas.openxmlformats.org/officeDocument/2006/relationships/hyperlink" Target="https://www.lcsc.com/product-detail/C315248.html?s_z=n_10uF%25200402" TargetMode="External"/><Relationship Id="rId6" Type="http://schemas.openxmlformats.org/officeDocument/2006/relationships/hyperlink" Target="https://www.lcsc.com/product-detail/C32713269.html?s_z=n_conn%25201%2a03" TargetMode="External"/><Relationship Id="rId11" Type="http://schemas.openxmlformats.org/officeDocument/2006/relationships/hyperlink" Target="https://www.lcsc.com/product-detail/C36498960.html?s_z=n_SMD%25203x6%2520sw" TargetMode="External"/><Relationship Id="rId5" Type="http://schemas.openxmlformats.org/officeDocument/2006/relationships/hyperlink" Target="https://www.lcsc.com/product-detail/C2988369.html?s_z=n_USB-C%25C2%25A8" TargetMode="External"/><Relationship Id="rId15" Type="http://schemas.openxmlformats.org/officeDocument/2006/relationships/hyperlink" Target="https://www.lcsc.com/product-detail/C5280576.html?s_z=n_12MhZ%2520crystal%2520" TargetMode="External"/><Relationship Id="rId10" Type="http://schemas.openxmlformats.org/officeDocument/2006/relationships/hyperlink" Target="https://www.lcsc.com/product-detail/C138021.html?s_z=n_27r%25200402" TargetMode="External"/><Relationship Id="rId4" Type="http://schemas.openxmlformats.org/officeDocument/2006/relationships/hyperlink" Target="https://www.lcsc.com/product-detail/C5137486.html?s_z=n_33pF%25200402" TargetMode="External"/><Relationship Id="rId9" Type="http://schemas.openxmlformats.org/officeDocument/2006/relationships/hyperlink" Target="https://www.lcsc.com/product-detail/C2906861.html?s_z=n_10k%25200402" TargetMode="External"/><Relationship Id="rId14" Type="http://schemas.openxmlformats.org/officeDocument/2006/relationships/hyperlink" Target="https://www.lcsc.com/product-detail/C2040.html?s_z=n_RP20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zoomScale="85" zoomScaleNormal="85" workbookViewId="0">
      <selection activeCell="P24" sqref="P24"/>
    </sheetView>
  </sheetViews>
  <sheetFormatPr defaultRowHeight="14.4" x14ac:dyDescent="0.3"/>
  <cols>
    <col min="1" max="1" width="54.6640625" customWidth="1"/>
    <col min="2" max="2" width="12.88671875" customWidth="1"/>
    <col min="3" max="3" width="14.77734375" customWidth="1"/>
    <col min="4" max="4" width="16.88671875" customWidth="1"/>
    <col min="5" max="5" width="17.77734375" customWidth="1"/>
    <col min="6" max="6" width="12.33203125" customWidth="1"/>
    <col min="7" max="7" width="14.5546875" customWidth="1"/>
    <col min="9" max="9" width="12.21875" customWidth="1"/>
  </cols>
  <sheetData>
    <row r="1" spans="1:14" x14ac:dyDescent="0.3">
      <c r="A1" s="31" t="s">
        <v>0</v>
      </c>
      <c r="B1" s="32" t="s">
        <v>1</v>
      </c>
      <c r="C1" s="32" t="s">
        <v>31</v>
      </c>
      <c r="D1" s="32" t="s">
        <v>2</v>
      </c>
      <c r="E1" s="32" t="s">
        <v>3</v>
      </c>
      <c r="F1" s="32" t="s">
        <v>40</v>
      </c>
      <c r="G1" s="33" t="s">
        <v>42</v>
      </c>
      <c r="H1" s="33" t="s">
        <v>43</v>
      </c>
      <c r="I1" s="39" t="s">
        <v>44</v>
      </c>
    </row>
    <row r="2" spans="1:14" ht="15" thickBot="1" x14ac:dyDescent="0.35">
      <c r="A2" s="34" t="s">
        <v>32</v>
      </c>
      <c r="B2" s="4" t="s">
        <v>41</v>
      </c>
      <c r="C2" s="6">
        <v>2</v>
      </c>
      <c r="D2" s="6" t="s">
        <v>4</v>
      </c>
      <c r="E2" s="7">
        <v>402</v>
      </c>
      <c r="F2" s="26" t="s">
        <v>62</v>
      </c>
      <c r="G2" s="27">
        <v>9.1000000000000004E-3</v>
      </c>
      <c r="H2" s="30">
        <v>20</v>
      </c>
      <c r="I2" s="35">
        <v>0.18</v>
      </c>
      <c r="J2" s="11"/>
    </row>
    <row r="3" spans="1:14" ht="16.8" customHeight="1" x14ac:dyDescent="0.3">
      <c r="A3" s="34" t="s">
        <v>33</v>
      </c>
      <c r="B3" s="4" t="s">
        <v>45</v>
      </c>
      <c r="C3" s="6">
        <v>11</v>
      </c>
      <c r="D3" s="6" t="s">
        <v>63</v>
      </c>
      <c r="E3" s="7">
        <v>402</v>
      </c>
      <c r="F3" s="26" t="s">
        <v>64</v>
      </c>
      <c r="G3" s="28">
        <v>1E-3</v>
      </c>
      <c r="H3" s="30">
        <v>100</v>
      </c>
      <c r="I3" s="35">
        <v>0.1</v>
      </c>
      <c r="J3" s="12"/>
      <c r="K3" s="17" t="s">
        <v>65</v>
      </c>
      <c r="L3" s="18"/>
      <c r="M3" s="18"/>
      <c r="N3" s="19"/>
    </row>
    <row r="4" spans="1:14" x14ac:dyDescent="0.3">
      <c r="A4" s="34" t="s">
        <v>34</v>
      </c>
      <c r="B4" s="4" t="s">
        <v>46</v>
      </c>
      <c r="C4" s="6">
        <v>2</v>
      </c>
      <c r="D4" s="6" t="s">
        <v>5</v>
      </c>
      <c r="E4" s="7">
        <v>402</v>
      </c>
      <c r="F4" s="26" t="s">
        <v>66</v>
      </c>
      <c r="G4" s="28">
        <v>1.8E-3</v>
      </c>
      <c r="H4" s="30">
        <v>100</v>
      </c>
      <c r="I4" s="35">
        <v>0.18</v>
      </c>
      <c r="J4" s="12"/>
      <c r="K4" s="20"/>
      <c r="L4" s="21"/>
      <c r="M4" s="21"/>
      <c r="N4" s="22"/>
    </row>
    <row r="5" spans="1:14" x14ac:dyDescent="0.3">
      <c r="A5" s="34" t="s">
        <v>35</v>
      </c>
      <c r="B5" s="4" t="s">
        <v>47</v>
      </c>
      <c r="C5" s="6">
        <v>2</v>
      </c>
      <c r="D5" s="6" t="s">
        <v>6</v>
      </c>
      <c r="E5" s="7">
        <v>402</v>
      </c>
      <c r="F5" s="26" t="s">
        <v>67</v>
      </c>
      <c r="G5" s="28">
        <v>8.9999999999999998E-4</v>
      </c>
      <c r="H5" s="30">
        <v>100</v>
      </c>
      <c r="I5" s="35">
        <v>0.09</v>
      </c>
      <c r="J5" s="12"/>
      <c r="K5" s="20"/>
      <c r="L5" s="21"/>
      <c r="M5" s="21"/>
      <c r="N5" s="22"/>
    </row>
    <row r="6" spans="1:14" ht="13.2" customHeight="1" x14ac:dyDescent="0.3">
      <c r="A6" s="34" t="s">
        <v>7</v>
      </c>
      <c r="B6" s="4" t="s">
        <v>48</v>
      </c>
      <c r="C6" s="6">
        <v>1</v>
      </c>
      <c r="D6" s="6" t="s">
        <v>68</v>
      </c>
      <c r="E6" s="7" t="s">
        <v>8</v>
      </c>
      <c r="F6" s="26" t="s">
        <v>69</v>
      </c>
      <c r="G6" s="29">
        <v>8.0299999999999996E-2</v>
      </c>
      <c r="H6" s="30">
        <v>5</v>
      </c>
      <c r="I6" s="35">
        <v>0.4</v>
      </c>
      <c r="J6" s="12"/>
      <c r="K6" s="20"/>
      <c r="L6" s="21"/>
      <c r="M6" s="21"/>
      <c r="N6" s="22"/>
    </row>
    <row r="7" spans="1:14" ht="14.4" customHeight="1" x14ac:dyDescent="0.3">
      <c r="A7" s="34" t="s">
        <v>36</v>
      </c>
      <c r="B7" s="4" t="s">
        <v>49</v>
      </c>
      <c r="C7" s="6">
        <v>2</v>
      </c>
      <c r="D7" s="6" t="s">
        <v>9</v>
      </c>
      <c r="E7" s="7" t="s">
        <v>70</v>
      </c>
      <c r="F7" s="8"/>
      <c r="G7" s="28">
        <v>9.1999999999999998E-2</v>
      </c>
      <c r="H7" s="30">
        <v>5</v>
      </c>
      <c r="I7" s="35">
        <v>0.46</v>
      </c>
      <c r="J7" s="12"/>
      <c r="K7" s="20"/>
      <c r="L7" s="21"/>
      <c r="M7" s="21"/>
      <c r="N7" s="22"/>
    </row>
    <row r="8" spans="1:14" ht="13.8" customHeight="1" x14ac:dyDescent="0.3">
      <c r="A8" s="34" t="s">
        <v>10</v>
      </c>
      <c r="B8" s="4" t="s">
        <v>50</v>
      </c>
      <c r="C8" s="6">
        <v>1</v>
      </c>
      <c r="D8" s="6" t="s">
        <v>11</v>
      </c>
      <c r="E8" s="7" t="s">
        <v>71</v>
      </c>
      <c r="F8" s="26" t="s">
        <v>72</v>
      </c>
      <c r="G8" s="28">
        <v>0.02</v>
      </c>
      <c r="H8" s="30">
        <v>5</v>
      </c>
      <c r="I8" s="35">
        <v>0.1</v>
      </c>
      <c r="J8" s="12"/>
      <c r="K8" s="20"/>
      <c r="L8" s="21"/>
      <c r="M8" s="21"/>
      <c r="N8" s="22"/>
    </row>
    <row r="9" spans="1:14" x14ac:dyDescent="0.3">
      <c r="A9" s="34" t="s">
        <v>37</v>
      </c>
      <c r="B9" s="4" t="s">
        <v>51</v>
      </c>
      <c r="C9" s="6">
        <v>2</v>
      </c>
      <c r="D9" s="6" t="s">
        <v>73</v>
      </c>
      <c r="E9" s="7">
        <v>402</v>
      </c>
      <c r="F9" s="26" t="s">
        <v>74</v>
      </c>
      <c r="G9" s="28">
        <v>5.0000000000000001E-4</v>
      </c>
      <c r="H9" s="30">
        <v>100</v>
      </c>
      <c r="I9" s="35">
        <v>0.05</v>
      </c>
      <c r="J9" s="12"/>
      <c r="K9" s="20"/>
      <c r="L9" s="21"/>
      <c r="M9" s="21"/>
      <c r="N9" s="22"/>
    </row>
    <row r="10" spans="1:14" x14ac:dyDescent="0.3">
      <c r="A10" s="34" t="s">
        <v>38</v>
      </c>
      <c r="B10" s="4" t="s">
        <v>52</v>
      </c>
      <c r="C10" s="6">
        <v>2</v>
      </c>
      <c r="D10" s="6" t="s">
        <v>12</v>
      </c>
      <c r="E10" s="7">
        <v>402</v>
      </c>
      <c r="F10" s="26" t="s">
        <v>75</v>
      </c>
      <c r="G10" s="28">
        <v>5.9999999999999995E-4</v>
      </c>
      <c r="H10" s="30">
        <v>100</v>
      </c>
      <c r="I10" s="35">
        <v>0.06</v>
      </c>
      <c r="J10" s="12"/>
      <c r="K10" s="20"/>
      <c r="L10" s="21"/>
      <c r="M10" s="21"/>
      <c r="N10" s="22"/>
    </row>
    <row r="11" spans="1:14" ht="15.6" customHeight="1" thickBot="1" x14ac:dyDescent="0.35">
      <c r="A11" s="34" t="s">
        <v>13</v>
      </c>
      <c r="B11" s="4" t="s">
        <v>53</v>
      </c>
      <c r="C11" s="6">
        <v>1</v>
      </c>
      <c r="D11" s="6" t="s">
        <v>14</v>
      </c>
      <c r="E11" s="7">
        <v>402</v>
      </c>
      <c r="F11" s="26" t="s">
        <v>76</v>
      </c>
      <c r="G11" s="28">
        <v>5.9999999999999995E-4</v>
      </c>
      <c r="H11" s="30">
        <v>100</v>
      </c>
      <c r="I11" s="35">
        <v>0.06</v>
      </c>
      <c r="J11" s="12"/>
      <c r="K11" s="23"/>
      <c r="L11" s="24"/>
      <c r="M11" s="24"/>
      <c r="N11" s="25"/>
    </row>
    <row r="12" spans="1:14" ht="15" thickBot="1" x14ac:dyDescent="0.35">
      <c r="A12" s="34" t="s">
        <v>39</v>
      </c>
      <c r="B12" s="4" t="s">
        <v>54</v>
      </c>
      <c r="C12" s="6">
        <v>2</v>
      </c>
      <c r="D12" s="6" t="s">
        <v>15</v>
      </c>
      <c r="E12" s="7">
        <v>402</v>
      </c>
      <c r="F12" s="26" t="s">
        <v>77</v>
      </c>
      <c r="G12" s="28">
        <v>8.0000000000000004E-4</v>
      </c>
      <c r="H12" s="30">
        <v>100</v>
      </c>
      <c r="I12" s="35">
        <v>0.08</v>
      </c>
      <c r="J12" s="13"/>
      <c r="K12" s="9"/>
      <c r="L12" s="9"/>
      <c r="M12" s="9"/>
    </row>
    <row r="13" spans="1:14" ht="14.4" customHeight="1" thickBot="1" x14ac:dyDescent="0.35">
      <c r="A13" s="34" t="s">
        <v>16</v>
      </c>
      <c r="B13" s="4" t="s">
        <v>55</v>
      </c>
      <c r="C13" s="6">
        <v>1</v>
      </c>
      <c r="D13" s="6" t="s">
        <v>17</v>
      </c>
      <c r="E13" s="7" t="s">
        <v>18</v>
      </c>
      <c r="F13" s="26" t="s">
        <v>78</v>
      </c>
      <c r="G13" s="28">
        <v>0.02</v>
      </c>
      <c r="H13" s="30">
        <v>5</v>
      </c>
      <c r="I13" s="35">
        <v>0.1</v>
      </c>
      <c r="J13" s="13"/>
      <c r="K13" s="14" t="s">
        <v>79</v>
      </c>
      <c r="L13" s="15"/>
      <c r="M13" s="15"/>
      <c r="N13" s="16"/>
    </row>
    <row r="14" spans="1:14" ht="15" thickBot="1" x14ac:dyDescent="0.35">
      <c r="A14" s="34" t="s">
        <v>19</v>
      </c>
      <c r="B14" s="4" t="s">
        <v>56</v>
      </c>
      <c r="C14" s="6">
        <v>1</v>
      </c>
      <c r="D14" s="6" t="s">
        <v>80</v>
      </c>
      <c r="E14" s="7" t="s">
        <v>20</v>
      </c>
      <c r="F14" s="26" t="s">
        <v>81</v>
      </c>
      <c r="G14" s="28">
        <v>0.1062</v>
      </c>
      <c r="H14" s="30">
        <v>5</v>
      </c>
      <c r="I14" s="35">
        <v>0.53</v>
      </c>
    </row>
    <row r="15" spans="1:14" x14ac:dyDescent="0.3">
      <c r="A15" s="34" t="s">
        <v>21</v>
      </c>
      <c r="B15" s="4" t="s">
        <v>22</v>
      </c>
      <c r="C15" s="6">
        <v>1</v>
      </c>
      <c r="D15" s="6" t="s">
        <v>23</v>
      </c>
      <c r="E15" s="7" t="s">
        <v>24</v>
      </c>
      <c r="F15" s="26" t="s">
        <v>82</v>
      </c>
      <c r="G15" s="28">
        <v>0.94820000000000004</v>
      </c>
      <c r="H15" s="30">
        <v>1</v>
      </c>
      <c r="I15" s="35">
        <v>0.95</v>
      </c>
      <c r="K15" s="53" t="s">
        <v>90</v>
      </c>
      <c r="L15" s="54"/>
      <c r="M15" s="54"/>
      <c r="N15" s="55"/>
    </row>
    <row r="16" spans="1:14" ht="15" thickBot="1" x14ac:dyDescent="0.35">
      <c r="A16" s="34" t="s">
        <v>25</v>
      </c>
      <c r="B16" s="4" t="s">
        <v>57</v>
      </c>
      <c r="C16" s="6">
        <v>1</v>
      </c>
      <c r="D16" s="6" t="s">
        <v>26</v>
      </c>
      <c r="E16" s="7" t="s">
        <v>27</v>
      </c>
      <c r="F16" s="26" t="s">
        <v>83</v>
      </c>
      <c r="G16" s="28">
        <v>2.4116</v>
      </c>
      <c r="H16" s="30">
        <v>1</v>
      </c>
      <c r="I16" s="35">
        <v>2.41</v>
      </c>
      <c r="K16" s="56"/>
      <c r="L16" s="57"/>
      <c r="M16" s="57"/>
      <c r="N16" s="58"/>
    </row>
    <row r="17" spans="1:9" x14ac:dyDescent="0.3">
      <c r="A17" s="34" t="s">
        <v>28</v>
      </c>
      <c r="B17" s="4" t="s">
        <v>58</v>
      </c>
      <c r="C17" s="6">
        <v>1</v>
      </c>
      <c r="D17" s="6" t="s">
        <v>29</v>
      </c>
      <c r="E17" s="7" t="s">
        <v>30</v>
      </c>
      <c r="F17" s="26" t="s">
        <v>84</v>
      </c>
      <c r="G17" s="28">
        <v>6.2E-2</v>
      </c>
      <c r="H17" s="30">
        <v>10</v>
      </c>
      <c r="I17" s="35">
        <v>0.62</v>
      </c>
    </row>
    <row r="18" spans="1:9" x14ac:dyDescent="0.3">
      <c r="A18" s="40" t="s">
        <v>59</v>
      </c>
      <c r="B18" s="5" t="s">
        <v>60</v>
      </c>
      <c r="C18" s="6">
        <v>1</v>
      </c>
      <c r="D18" s="36" t="s">
        <v>60</v>
      </c>
      <c r="E18" s="37" t="s">
        <v>60</v>
      </c>
      <c r="F18" s="10" t="s">
        <v>60</v>
      </c>
      <c r="G18" s="38" t="s">
        <v>60</v>
      </c>
      <c r="H18" s="10" t="s">
        <v>60</v>
      </c>
      <c r="I18" s="41">
        <v>9.24</v>
      </c>
    </row>
    <row r="19" spans="1:9" x14ac:dyDescent="0.3">
      <c r="A19" s="40" t="s">
        <v>61</v>
      </c>
      <c r="B19" s="5" t="s">
        <v>60</v>
      </c>
      <c r="C19" s="6">
        <v>1</v>
      </c>
      <c r="D19" s="36" t="s">
        <v>60</v>
      </c>
      <c r="E19" s="37" t="s">
        <v>60</v>
      </c>
      <c r="F19" s="10" t="s">
        <v>60</v>
      </c>
      <c r="G19" s="38" t="s">
        <v>60</v>
      </c>
      <c r="H19" s="10" t="s">
        <v>60</v>
      </c>
      <c r="I19" s="41">
        <v>3</v>
      </c>
    </row>
    <row r="20" spans="1:9" x14ac:dyDescent="0.3">
      <c r="A20" s="40" t="s">
        <v>89</v>
      </c>
      <c r="B20" s="5" t="s">
        <v>60</v>
      </c>
      <c r="C20" s="6">
        <v>1</v>
      </c>
      <c r="D20" s="36" t="s">
        <v>60</v>
      </c>
      <c r="E20" s="37" t="s">
        <v>60</v>
      </c>
      <c r="F20" s="10" t="s">
        <v>60</v>
      </c>
      <c r="G20" s="38" t="s">
        <v>60</v>
      </c>
      <c r="H20" s="10" t="s">
        <v>60</v>
      </c>
      <c r="I20" s="41">
        <v>2.1</v>
      </c>
    </row>
    <row r="21" spans="1:9" x14ac:dyDescent="0.3">
      <c r="A21" s="40" t="s">
        <v>85</v>
      </c>
      <c r="B21" s="5" t="s">
        <v>60</v>
      </c>
      <c r="C21" s="6">
        <v>1</v>
      </c>
      <c r="D21" s="36" t="s">
        <v>60</v>
      </c>
      <c r="E21" s="37" t="s">
        <v>60</v>
      </c>
      <c r="F21" s="10" t="s">
        <v>60</v>
      </c>
      <c r="G21" s="38" t="s">
        <v>60</v>
      </c>
      <c r="H21" s="10" t="s">
        <v>60</v>
      </c>
      <c r="I21" s="41">
        <v>3.05</v>
      </c>
    </row>
    <row r="22" spans="1:9" x14ac:dyDescent="0.3">
      <c r="A22" s="40" t="s">
        <v>86</v>
      </c>
      <c r="B22" s="5" t="s">
        <v>60</v>
      </c>
      <c r="C22" s="6">
        <v>1</v>
      </c>
      <c r="D22" s="36" t="s">
        <v>60</v>
      </c>
      <c r="E22" s="37" t="s">
        <v>60</v>
      </c>
      <c r="F22" s="10" t="s">
        <v>60</v>
      </c>
      <c r="G22" s="38" t="s">
        <v>60</v>
      </c>
      <c r="H22" s="10" t="s">
        <v>60</v>
      </c>
      <c r="I22" s="41">
        <v>9.33</v>
      </c>
    </row>
    <row r="23" spans="1:9" ht="15" thickBot="1" x14ac:dyDescent="0.35">
      <c r="A23" s="42" t="s">
        <v>87</v>
      </c>
      <c r="B23" s="43" t="s">
        <v>60</v>
      </c>
      <c r="C23" s="44">
        <v>1</v>
      </c>
      <c r="D23" s="45" t="s">
        <v>60</v>
      </c>
      <c r="E23" s="46" t="s">
        <v>60</v>
      </c>
      <c r="F23" s="47" t="s">
        <v>60</v>
      </c>
      <c r="G23" s="48" t="s">
        <v>60</v>
      </c>
      <c r="H23" s="47" t="s">
        <v>60</v>
      </c>
      <c r="I23" s="49">
        <v>3.05</v>
      </c>
    </row>
    <row r="24" spans="1:9" ht="15" thickBot="1" x14ac:dyDescent="0.35">
      <c r="A24" s="1"/>
      <c r="B24" s="1"/>
      <c r="C24" s="1"/>
      <c r="D24" s="2"/>
      <c r="E24" s="3"/>
    </row>
    <row r="25" spans="1:9" ht="15" thickBot="1" x14ac:dyDescent="0.35">
      <c r="A25" s="59" t="s">
        <v>88</v>
      </c>
      <c r="B25" s="50"/>
      <c r="C25" s="50"/>
      <c r="D25" s="51"/>
      <c r="E25" s="52"/>
      <c r="F25" s="52"/>
      <c r="G25" s="52"/>
      <c r="H25" s="52"/>
      <c r="I25" s="60">
        <f>SUM(I2:I23)</f>
        <v>36.14</v>
      </c>
    </row>
    <row r="27" spans="1:9" x14ac:dyDescent="0.3">
      <c r="A27" s="1"/>
      <c r="B27" s="1"/>
      <c r="C27" s="1"/>
      <c r="D27" s="2"/>
      <c r="E27" s="3"/>
    </row>
    <row r="28" spans="1:9" x14ac:dyDescent="0.3">
      <c r="A28" s="1"/>
      <c r="B28" s="1"/>
      <c r="C28" s="1"/>
      <c r="D28" s="2"/>
      <c r="E28" s="3"/>
    </row>
    <row r="29" spans="1:9" x14ac:dyDescent="0.3">
      <c r="A29" s="1"/>
      <c r="B29" s="1"/>
      <c r="C29" s="1"/>
      <c r="D29" s="2"/>
      <c r="E29" s="3"/>
    </row>
    <row r="30" spans="1:9" x14ac:dyDescent="0.3">
      <c r="A30" s="1"/>
      <c r="B30" s="1"/>
      <c r="C30" s="1"/>
      <c r="D30" s="2"/>
      <c r="E30" s="3"/>
    </row>
    <row r="31" spans="1:9" x14ac:dyDescent="0.3">
      <c r="A31" s="1"/>
      <c r="B31" s="1"/>
      <c r="C31" s="1"/>
      <c r="D31" s="2"/>
      <c r="E31" s="3"/>
    </row>
    <row r="32" spans="1:9" x14ac:dyDescent="0.3">
      <c r="A32" s="1"/>
      <c r="B32" s="1"/>
      <c r="C32" s="1"/>
      <c r="D32" s="2"/>
      <c r="E32" s="3"/>
    </row>
    <row r="33" spans="1:5" x14ac:dyDescent="0.3">
      <c r="A33" s="1"/>
      <c r="B33" s="1"/>
      <c r="C33" s="1"/>
      <c r="D33" s="2"/>
      <c r="E33" s="3"/>
    </row>
    <row r="34" spans="1:5" x14ac:dyDescent="0.3">
      <c r="A34" s="1"/>
      <c r="B34" s="1"/>
      <c r="C34" s="1"/>
      <c r="D34" s="2"/>
      <c r="E34" s="3"/>
    </row>
    <row r="35" spans="1:5" x14ac:dyDescent="0.3">
      <c r="A35" s="3"/>
      <c r="B35" s="3"/>
      <c r="C35" s="3"/>
      <c r="D35" s="3"/>
      <c r="E35" s="3"/>
    </row>
    <row r="36" spans="1:5" x14ac:dyDescent="0.3">
      <c r="A36" s="3"/>
      <c r="B36" s="3"/>
      <c r="C36" s="3"/>
      <c r="D36" s="3"/>
      <c r="E36" s="3"/>
    </row>
  </sheetData>
  <mergeCells count="3">
    <mergeCell ref="K15:N16"/>
    <mergeCell ref="K3:N11"/>
    <mergeCell ref="K13:N13"/>
  </mergeCells>
  <phoneticPr fontId="7" type="noConversion"/>
  <hyperlinks>
    <hyperlink ref="F2" r:id="rId1" display="https://www.lcsc.com/product-detail/C315248.html?s_z=n_10uF%25200402" xr:uid="{A1D43941-4AE1-46F9-BDFA-EFDCEE37C3ED}"/>
    <hyperlink ref="F3" r:id="rId2" display="https://www.lcsc.com/product-detail/C60474.html?s_z=n_100nF%25200402%25C2%25A8" xr:uid="{249AC047-CA43-4DA0-AD6C-FAD8E32AC705}"/>
    <hyperlink ref="F4" r:id="rId3" display="https://www.lcsc.com/product-detail/C107372.html?s_z=n_1uF%25200402" xr:uid="{157B0F73-F188-4266-9BE0-7B5E175BD49A}"/>
    <hyperlink ref="F5" r:id="rId4" display="https://www.lcsc.com/product-detail/C5137486.html?s_z=n_33pF%25200402" xr:uid="{8CAF6F98-1217-402C-BAE3-6D5EA1AB2161}"/>
    <hyperlink ref="F6" r:id="rId5" display="https://www.lcsc.com/product-detail/C2988369.html?s_z=n_USB-C%25C2%25A8" xr:uid="{3DCDACC4-0DC1-4A20-9070-06A41336C710}"/>
    <hyperlink ref="F8" r:id="rId6" display="https://www.lcsc.com/product-detail/C32713269.html?s_z=n_conn%25201%2a03" xr:uid="{0A81DDC3-3F9A-4FAD-97F4-F6B4736E983A}"/>
    <hyperlink ref="F9" r:id="rId7" display="https://www.lcsc.com/product-detail/C2906948.html?s_z=n_5.1k%25200402" xr:uid="{D68D0E37-89B1-4D0B-B788-7DE4FF625E56}"/>
    <hyperlink ref="F10" r:id="rId8" display="https://www.lcsc.com/product-detail/C2906864.html?s_z=n_1k%25200402" xr:uid="{C6DD915D-A0E4-424E-8E06-22E857650646}"/>
    <hyperlink ref="F11" r:id="rId9" display="https://www.lcsc.com/product-detail/C2906861.html?s_z=n_10k%25200402" xr:uid="{5C7642B3-16D4-41CF-BF08-9DA76DF6628D}"/>
    <hyperlink ref="F12" r:id="rId10" display="https://www.lcsc.com/product-detail/C138021.html?s_z=n_27r%25200402" xr:uid="{47746D52-C992-4760-9DBC-97CE19E07D5B}"/>
    <hyperlink ref="F13" r:id="rId11" display="https://www.lcsc.com/product-detail/C36498960.html?s_z=n_SMD%25203x6%2520sw" xr:uid="{FF42E2B9-A71D-4846-90D7-F425EB58B56B}"/>
    <hyperlink ref="F14" r:id="rId12" display="https://www.lcsc.com/product-detail/C41381676.html?s_z=n_MCP1700%25203.3v%2520sot23" xr:uid="{0CFF3390-432C-4AFB-9311-039D279AFA27}"/>
    <hyperlink ref="F16" r:id="rId13" display="https://www.lcsc.com/product-detail/C113767.html?s_z=n_W25Q128" xr:uid="{037B18DE-25DD-477D-BA02-76F24FA321FC}"/>
    <hyperlink ref="F15" r:id="rId14" display="https://www.lcsc.com/product-detail/C2040.html?s_z=n_RP2040" xr:uid="{7A1290A7-31AE-44A5-AB13-0ADA27DCD488}"/>
    <hyperlink ref="F17" r:id="rId15" display="https://www.lcsc.com/product-detail/C5280576.html?s_z=n_12MhZ%2520crystal%2520" xr:uid="{28A56498-3720-420D-84F9-B26EAE4AE8B0}"/>
  </hyperlinks>
  <pageMargins left="0.7" right="0.7" top="0.75" bottom="0.75" header="0.3" footer="0.3"/>
  <pageSetup paperSize="9" orientation="portrait" r:id="rId16"/>
  <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vojto</dc:creator>
  <cp:lastModifiedBy>kubena ondrej</cp:lastModifiedBy>
  <dcterms:created xsi:type="dcterms:W3CDTF">2015-06-05T18:19:34Z</dcterms:created>
  <dcterms:modified xsi:type="dcterms:W3CDTF">2026-03-11T17:25:08Z</dcterms:modified>
</cp:coreProperties>
</file>